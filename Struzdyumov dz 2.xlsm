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3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Study\6 semestr\MCC\Струздюмов\"/>
    </mc:Choice>
  </mc:AlternateContent>
  <xr:revisionPtr revIDLastSave="0" documentId="13_ncr:1_{6EB243E8-6E50-4B18-B358-E9AFE2629B83}" xr6:coauthVersionLast="36" xr6:coauthVersionMax="46" xr10:uidLastSave="{00000000-0000-0000-0000-000000000000}"/>
  <bookViews>
    <workbookView xWindow="-105" yWindow="-105" windowWidth="23250" windowHeight="12570" xr2:uid="{00000000-000D-0000-FFFF-FFFF00000000}"/>
  </bookViews>
  <sheets>
    <sheet name="Явная схема" sheetId="1" r:id="rId1"/>
    <sheet name="Неявная схема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1" l="1"/>
  <c r="AJ13" i="1" l="1"/>
  <c r="E6" i="1" l="1"/>
  <c r="F6" i="2"/>
  <c r="G20" i="2" l="1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13" i="2"/>
  <c r="F13" i="2"/>
  <c r="F20" i="2" s="1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19" i="2" l="1"/>
  <c r="C18" i="2"/>
  <c r="F19" i="2"/>
  <c r="G19" i="2" s="1"/>
  <c r="C17" i="2"/>
  <c r="G18" i="2" s="1"/>
  <c r="H18" i="2" s="1"/>
  <c r="F13" i="1"/>
  <c r="C4" i="1"/>
  <c r="S15" i="1" s="1"/>
  <c r="AE15" i="1" l="1"/>
  <c r="AH15" i="1"/>
  <c r="AF15" i="1"/>
  <c r="AG15" i="1"/>
  <c r="AI15" i="1"/>
  <c r="O15" i="1"/>
  <c r="K15" i="1"/>
  <c r="AA15" i="1"/>
  <c r="W15" i="1"/>
  <c r="AC15" i="1"/>
  <c r="Y15" i="1"/>
  <c r="U15" i="1"/>
  <c r="Q15" i="1"/>
  <c r="M15" i="1"/>
  <c r="I1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5" i="1"/>
  <c r="AB15" i="1"/>
  <c r="X15" i="1"/>
  <c r="T15" i="1"/>
  <c r="P15" i="1"/>
  <c r="L15" i="1"/>
  <c r="H15" i="1"/>
  <c r="AD15" i="1"/>
  <c r="Z15" i="1"/>
  <c r="V15" i="1"/>
  <c r="R15" i="1"/>
  <c r="N15" i="1"/>
  <c r="J15" i="1"/>
  <c r="G15" i="2"/>
  <c r="H19" i="2"/>
  <c r="H15" i="2" l="1"/>
  <c r="I18" i="2"/>
  <c r="I19" i="2"/>
  <c r="J19" i="2" s="1"/>
  <c r="J18" i="2" l="1"/>
  <c r="J15" i="2" s="1"/>
  <c r="I15" i="2"/>
  <c r="K18" i="2" l="1"/>
  <c r="K19" i="2"/>
  <c r="L19" i="2" l="1"/>
  <c r="L18" i="2"/>
  <c r="K15" i="2"/>
  <c r="M18" i="2" l="1"/>
  <c r="L15" i="2"/>
  <c r="M19" i="2"/>
  <c r="N19" i="2" l="1"/>
  <c r="N18" i="2"/>
  <c r="M15" i="2"/>
  <c r="O19" i="2" l="1"/>
  <c r="O18" i="2"/>
  <c r="N15" i="2"/>
  <c r="P19" i="2" l="1"/>
  <c r="P18" i="2"/>
  <c r="O15" i="2"/>
  <c r="Q18" i="2" l="1"/>
  <c r="P15" i="2"/>
  <c r="Q19" i="2"/>
  <c r="R19" i="2" l="1"/>
  <c r="R18" i="2"/>
  <c r="Q15" i="2"/>
  <c r="S18" i="2" l="1"/>
  <c r="R15" i="2"/>
  <c r="S19" i="2"/>
  <c r="T19" i="2" l="1"/>
  <c r="T18" i="2"/>
  <c r="S15" i="2"/>
  <c r="U19" i="2" l="1"/>
  <c r="U18" i="2"/>
  <c r="T15" i="2"/>
  <c r="V18" i="2" l="1"/>
  <c r="U15" i="2"/>
  <c r="V19" i="2"/>
  <c r="W18" i="2" l="1"/>
  <c r="V15" i="2"/>
  <c r="W19" i="2"/>
  <c r="X19" i="2" l="1"/>
  <c r="X18" i="2"/>
  <c r="W15" i="2"/>
  <c r="Y18" i="2" l="1"/>
  <c r="X15" i="2"/>
  <c r="Y19" i="2"/>
  <c r="Z19" i="2" s="1"/>
  <c r="Z18" i="2" l="1"/>
  <c r="Y15" i="2"/>
  <c r="AA18" i="2" l="1"/>
  <c r="Z15" i="2"/>
  <c r="AA19" i="2"/>
  <c r="AB19" i="2" l="1"/>
  <c r="AB18" i="2"/>
  <c r="AA15" i="2"/>
  <c r="AC18" i="2" l="1"/>
  <c r="AB15" i="2"/>
  <c r="AC19" i="2"/>
  <c r="AD19" i="2" l="1"/>
  <c r="AD18" i="2"/>
  <c r="AD15" i="2" s="1"/>
  <c r="AC15" i="2"/>
  <c r="AE18" i="2" l="1"/>
  <c r="AE19" i="2"/>
  <c r="AE15" i="2" l="1"/>
  <c r="AF19" i="2"/>
  <c r="AF18" i="2"/>
  <c r="AF15" i="2" l="1"/>
  <c r="AG18" i="2"/>
  <c r="AG19" i="2"/>
  <c r="AG15" i="2" l="1"/>
  <c r="AH19" i="2"/>
  <c r="AH18" i="2"/>
  <c r="AH15" i="2" l="1"/>
  <c r="AI18" i="2"/>
  <c r="AI19" i="2"/>
  <c r="AI15" i="2" l="1"/>
</calcChain>
</file>

<file path=xl/sharedStrings.xml><?xml version="1.0" encoding="utf-8"?>
<sst xmlns="http://schemas.openxmlformats.org/spreadsheetml/2006/main" count="30" uniqueCount="17">
  <si>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</si>
  <si>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</si>
  <si>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</si>
  <si>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</si>
  <si>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</si>
  <si>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</si>
  <si>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</si>
  <si>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</si>
  <si>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</si>
  <si>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</si>
  <si>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</si>
  <si>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A</t>
  </si>
  <si>
    <t>B</t>
  </si>
  <si>
    <t>C</t>
  </si>
  <si>
    <t>alfa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</si>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</sst>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1" xfId="0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/>
    <xf numFmtId="0" fontId="0" fillId="2" borderId="0" xfId="0" applyFill="1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2" xfId="0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1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44450" cap="rnd">
              <a:solidFill>
                <a:schemeClr val="accent4">
                  <a:lumMod val="75000"/>
                </a:schemeClr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280.29321910927666</c:v>
                </c:pt>
                <c:pt idx="2">
                  <c:v>260.76992620624469</c:v>
                </c:pt>
                <c:pt idx="3">
                  <c:v>241.53714551581209</c:v>
                </c:pt>
                <c:pt idx="4">
                  <c:v>222.84207649919702</c:v>
                </c:pt>
                <c:pt idx="5">
                  <c:v>204.7079123846629</c:v>
                </c:pt>
                <c:pt idx="6">
                  <c:v>187.4289915164546</c:v>
                </c:pt>
                <c:pt idx="7">
                  <c:v>170.94358487196644</c:v>
                </c:pt>
                <c:pt idx="8">
                  <c:v>155.57469985957152</c:v>
                </c:pt>
                <c:pt idx="9">
                  <c:v>141.18090966932513</c:v>
                </c:pt>
                <c:pt idx="10">
                  <c:v>128.0954363107559</c:v>
                </c:pt>
                <c:pt idx="11">
                  <c:v>116.10789194763245</c:v>
                </c:pt>
                <c:pt idx="12">
                  <c:v>105.54484942154785</c:v>
                </c:pt>
                <c:pt idx="13">
                  <c:v>96.141750367640611</c:v>
                </c:pt>
                <c:pt idx="14">
                  <c:v>88.204275016251756</c:v>
                </c:pt>
                <c:pt idx="15">
                  <c:v>81.430737487071141</c:v>
                </c:pt>
                <c:pt idx="16">
                  <c:v>76.0947315135884</c:v>
                </c:pt>
                <c:pt idx="17">
                  <c:v>71.874945509610782</c:v>
                </c:pt>
                <c:pt idx="18">
                  <c:v>69.004658243588111</c:v>
                </c:pt>
                <c:pt idx="19">
                  <c:v>67.159404857464054</c:v>
                </c:pt>
                <c:pt idx="20">
                  <c:v>66.526467285105824</c:v>
                </c:pt>
                <c:pt idx="21">
                  <c:v>66.792668372921142</c:v>
                </c:pt>
                <c:pt idx="22">
                  <c:v>68.095607819509254</c:v>
                </c:pt>
                <c:pt idx="23">
                  <c:v>70.145329006594167</c:v>
                </c:pt>
                <c:pt idx="24">
                  <c:v>73.027547301287228</c:v>
                </c:pt>
                <c:pt idx="25">
                  <c:v>76.484917878539179</c:v>
                </c:pt>
                <c:pt idx="26">
                  <c:v>80.550175786705083</c:v>
                </c:pt>
                <c:pt idx="27">
                  <c:v>85.005694508489441</c:v>
                </c:pt>
                <c:pt idx="28">
                  <c:v>89.831025344161674</c:v>
                </c:pt>
                <c:pt idx="29">
                  <c:v>94.853464903053307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B6-472F-99C5-5DD3D401C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27080"/>
        <c:axId val="235526296"/>
      </c:scatterChart>
      <c:valAx>
        <c:axId val="23552708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rgbClr val="7030A0"/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7030A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6296"/>
        <c:crosses val="autoZero"/>
        <c:crossBetween val="midCat"/>
      </c:valAx>
      <c:valAx>
        <c:axId val="235526296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rgbClr val="7030A0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[C]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8915888130632108E-2"/>
              <c:y val="6.189128319744345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19050" cap="flat" cmpd="sng" algn="ctr">
            <a:solidFill>
              <a:srgbClr val="7030A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7080"/>
        <c:crosses val="autoZero"/>
        <c:crossBetween val="midCat"/>
      </c:valAx>
      <c:spPr>
        <a:noFill/>
        <a:ln>
          <a:solidFill>
            <a:srgbClr val="7030A0"/>
          </a:solidFill>
        </a:ln>
        <a:effectLst/>
      </c:spPr>
    </c:plotArea>
    <c:plotVisOnly val="1"/>
    <c:dispBlanksAs val="gap"/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rgbClr val="7030A0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>
                  <a:lumMod val="75000"/>
                </a:schemeClr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223.01196062981921</c:v>
                </c:pt>
                <c:pt idx="2">
                  <c:v>146.02398686922703</c:v>
                </c:pt>
                <c:pt idx="3">
                  <c:v>97.093162137197396</c:v>
                </c:pt>
                <c:pt idx="4">
                  <c:v>64.430425709051107</c:v>
                </c:pt>
                <c:pt idx="5">
                  <c:v>42.766480644991702</c:v>
                </c:pt>
                <c:pt idx="6">
                  <c:v>28.385815120587381</c:v>
                </c:pt>
                <c:pt idx="7">
                  <c:v>18.840846904994219</c:v>
                </c:pt>
                <c:pt idx="8">
                  <c:v>12.50542650202101</c:v>
                </c:pt>
                <c:pt idx="9">
                  <c:v>8.3003436110029654</c:v>
                </c:pt>
                <c:pt idx="10">
                  <c:v>5.5092728437355891</c:v>
                </c:pt>
                <c:pt idx="11">
                  <c:v>3.6567707025486853</c:v>
                </c:pt>
                <c:pt idx="12">
                  <c:v>2.4272900108947102</c:v>
                </c:pt>
                <c:pt idx="13">
                  <c:v>1.6114410245415405</c:v>
                </c:pt>
                <c:pt idx="14">
                  <c:v>1.0703501418300778</c:v>
                </c:pt>
                <c:pt idx="15">
                  <c:v>0.71205931232850905</c:v>
                </c:pt>
                <c:pt idx="16">
                  <c:v>0.47597497482819962</c:v>
                </c:pt>
                <c:pt idx="17">
                  <c:v>0.32277656291309853</c:v>
                </c:pt>
                <c:pt idx="18">
                  <c:v>0.22818537875892103</c:v>
                </c:pt>
                <c:pt idx="19">
                  <c:v>0.17977533302705295</c:v>
                </c:pt>
                <c:pt idx="20">
                  <c:v>0.17677469157355463</c:v>
                </c:pt>
                <c:pt idx="21">
                  <c:v>0.23382308350480874</c:v>
                </c:pt>
                <c:pt idx="22">
                  <c:v>0.39134652476214238</c:v>
                </c:pt>
                <c:pt idx="23">
                  <c:v>0.73841745895379718</c:v>
                </c:pt>
                <c:pt idx="24">
                  <c:v>1.4603029716210434</c:v>
                </c:pt>
                <c:pt idx="25">
                  <c:v>2.9356413106430588</c:v>
                </c:pt>
                <c:pt idx="26">
                  <c:v>5.9339321035098518</c:v>
                </c:pt>
                <c:pt idx="27">
                  <c:v>12.016159131962283</c:v>
                </c:pt>
                <c:pt idx="28">
                  <c:v>24.346996362907895</c:v>
                </c:pt>
                <c:pt idx="29">
                  <c:v>49.341118950531083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90-4A1B-9D18-5B8B8AF5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27472"/>
        <c:axId val="235520416"/>
      </c:scatterChart>
      <c:valAx>
        <c:axId val="23552747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rgbClr val="7030A0"/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7030A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0416"/>
        <c:crosses val="autoZero"/>
        <c:crossBetween val="midCat"/>
      </c:valAx>
      <c:valAx>
        <c:axId val="235520416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rgbClr val="7030A0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[C]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845444059976932E-2"/>
              <c:y val="6.902037534325548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7030A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rgbClr val="7030A0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6101</xdr:colOff>
      <xdr:row>18</xdr:row>
      <xdr:rowOff>55555</xdr:rowOff>
    </xdr:from>
    <xdr:to>
      <xdr:col>14</xdr:col>
      <xdr:colOff>659243</xdr:colOff>
      <xdr:row>40</xdr:row>
      <xdr:rowOff>112705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23</xdr:row>
      <xdr:rowOff>38100</xdr:rowOff>
    </xdr:from>
    <xdr:to>
      <xdr:col>15</xdr:col>
      <xdr:colOff>228599</xdr:colOff>
      <xdr:row>41</xdr:row>
      <xdr:rowOff>76200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K52"/>
  <sheetViews>
    <sheetView tabSelected="1" topLeftCell="A7" zoomScale="70" zoomScaleNormal="70" workbookViewId="0">
      <selection activeCell="C21" sqref="C21"/>
    </sheetView>
  </sheetViews>
  <sheetFormatPr defaultRowHeight="15" x14ac:dyDescent="0.25"/>
  <cols>
    <col min="3" max="3" width="7.42578125" bestFit="1" customWidth="1"/>
    <col min="6" max="6" width="7.140625" bestFit="1" customWidth="1"/>
    <col min="7" max="35" width="13.28515625" bestFit="1" customWidth="1"/>
    <col min="36" max="36" width="7.140625" bestFit="1" customWidth="1"/>
  </cols>
  <sheetData>
    <row r="1" spans="1:37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</row>
    <row r="2" spans="1:37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>
        <f>(C9*C8*C4^2)/(2*C10)</f>
        <v>0.4333333333333334</v>
      </c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</row>
    <row r="3" spans="1:37" x14ac:dyDescent="0.25">
      <c r="A3" s="5"/>
      <c r="B3" s="11" t="s">
        <v>0</v>
      </c>
      <c r="C3" s="1">
        <v>0.1</v>
      </c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</row>
    <row r="4" spans="1:37" x14ac:dyDescent="0.25">
      <c r="A4" s="5"/>
      <c r="B4" s="11" t="s">
        <v>1</v>
      </c>
      <c r="C4" s="2">
        <f>C3/30</f>
        <v>3.3333333333333335E-3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</row>
    <row r="5" spans="1:37" x14ac:dyDescent="0.25">
      <c r="A5" s="5"/>
      <c r="B5" s="11" t="s">
        <v>2</v>
      </c>
      <c r="C5" s="3">
        <v>0.43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</row>
    <row r="6" spans="1:37" x14ac:dyDescent="0.25">
      <c r="A6" s="5"/>
      <c r="B6" s="11" t="s">
        <v>3</v>
      </c>
      <c r="C6" s="1">
        <v>60</v>
      </c>
      <c r="D6" s="6">
        <v>60.199999999999996</v>
      </c>
      <c r="E6" s="6">
        <f>C6/C5</f>
        <v>139.53488372093022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</row>
    <row r="7" spans="1:37" x14ac:dyDescent="0.25">
      <c r="A7" s="5"/>
      <c r="B7" s="1"/>
      <c r="C7" s="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</row>
    <row r="8" spans="1:37" x14ac:dyDescent="0.25">
      <c r="A8" s="5"/>
      <c r="B8" s="11" t="s">
        <v>4</v>
      </c>
      <c r="C8" s="1">
        <v>460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</row>
    <row r="9" spans="1:37" x14ac:dyDescent="0.25">
      <c r="A9" s="5"/>
      <c r="B9" s="11" t="s">
        <v>5</v>
      </c>
      <c r="C9" s="1">
        <v>7800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</row>
    <row r="10" spans="1:37" x14ac:dyDescent="0.25">
      <c r="A10" s="5"/>
      <c r="B10" s="11" t="s">
        <v>6</v>
      </c>
      <c r="C10" s="1">
        <v>46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</row>
    <row r="11" spans="1:37" x14ac:dyDescent="0.25">
      <c r="A11" s="5"/>
      <c r="B11" s="1"/>
      <c r="C11" s="1"/>
      <c r="D11" s="5"/>
      <c r="E11" s="5"/>
      <c r="F11" s="10">
        <v>1</v>
      </c>
      <c r="G11" s="10">
        <v>2</v>
      </c>
      <c r="H11" s="10">
        <v>3</v>
      </c>
      <c r="I11" s="10">
        <v>4</v>
      </c>
      <c r="J11" s="10">
        <v>5</v>
      </c>
      <c r="K11" s="10">
        <v>6</v>
      </c>
      <c r="L11" s="10">
        <v>7</v>
      </c>
      <c r="M11" s="10">
        <v>8</v>
      </c>
      <c r="N11" s="10">
        <v>9</v>
      </c>
      <c r="O11" s="10">
        <v>10</v>
      </c>
      <c r="P11" s="10">
        <v>11</v>
      </c>
      <c r="Q11" s="10">
        <v>12</v>
      </c>
      <c r="R11" s="10">
        <v>13</v>
      </c>
      <c r="S11" s="10">
        <v>14</v>
      </c>
      <c r="T11" s="10">
        <v>15</v>
      </c>
      <c r="U11" s="10">
        <v>16</v>
      </c>
      <c r="V11" s="10">
        <v>17</v>
      </c>
      <c r="W11" s="10">
        <v>18</v>
      </c>
      <c r="X11" s="10">
        <v>19</v>
      </c>
      <c r="Y11" s="10">
        <v>20</v>
      </c>
      <c r="Z11" s="10">
        <v>21</v>
      </c>
      <c r="AA11" s="10">
        <v>22</v>
      </c>
      <c r="AB11" s="10">
        <v>23</v>
      </c>
      <c r="AC11" s="10">
        <v>24</v>
      </c>
      <c r="AD11" s="10">
        <v>25</v>
      </c>
      <c r="AE11" s="10">
        <v>26</v>
      </c>
      <c r="AF11" s="10">
        <v>27</v>
      </c>
      <c r="AG11" s="10">
        <v>28</v>
      </c>
      <c r="AH11" s="10">
        <v>29</v>
      </c>
      <c r="AI11" s="10">
        <v>30</v>
      </c>
      <c r="AJ11" s="10">
        <v>31</v>
      </c>
      <c r="AK11" s="5"/>
    </row>
    <row r="12" spans="1:37" x14ac:dyDescent="0.25">
      <c r="A12" s="5"/>
      <c r="B12" s="11" t="s">
        <v>8</v>
      </c>
      <c r="C12" s="1">
        <v>300</v>
      </c>
      <c r="D12" s="5"/>
      <c r="E12" s="9" t="s">
        <v>0</v>
      </c>
      <c r="F12" s="4">
        <v>0</v>
      </c>
      <c r="G12" s="4">
        <f>F12+$C$4</f>
        <v>3.3333333333333335E-3</v>
      </c>
      <c r="H12" s="4">
        <f>G12+$C$4</f>
        <v>6.6666666666666671E-3</v>
      </c>
      <c r="I12" s="4">
        <f>H12+$C$4</f>
        <v>0.01</v>
      </c>
      <c r="J12" s="4">
        <f>I12+$C$4</f>
        <v>1.3333333333333334E-2</v>
      </c>
      <c r="K12" s="4">
        <f>J12+$C$4</f>
        <v>1.6666666666666666E-2</v>
      </c>
      <c r="L12" s="4">
        <f>K12+$C$4</f>
        <v>0.02</v>
      </c>
      <c r="M12" s="4">
        <f>L12+$C$4</f>
        <v>2.3333333333333334E-2</v>
      </c>
      <c r="N12" s="4">
        <f>M12+$C$4</f>
        <v>2.6666666666666668E-2</v>
      </c>
      <c r="O12" s="4">
        <f>N12+$C$4</f>
        <v>3.0000000000000002E-2</v>
      </c>
      <c r="P12" s="4">
        <f>O12+$C$4</f>
        <v>3.3333333333333333E-2</v>
      </c>
      <c r="Q12" s="4">
        <f>P12+$C$4</f>
        <v>3.6666666666666667E-2</v>
      </c>
      <c r="R12" s="4">
        <f>Q12+$C$4</f>
        <v>0.04</v>
      </c>
      <c r="S12" s="4">
        <f>R12+$C$4</f>
        <v>4.3333333333333335E-2</v>
      </c>
      <c r="T12" s="4">
        <f>S12+$C$4</f>
        <v>4.6666666666666669E-2</v>
      </c>
      <c r="U12" s="4">
        <f>T12+$C$4</f>
        <v>0.05</v>
      </c>
      <c r="V12" s="4">
        <f>U12+$C$4</f>
        <v>5.3333333333333337E-2</v>
      </c>
      <c r="W12" s="4">
        <f>V12+$C$4</f>
        <v>5.6666666666666671E-2</v>
      </c>
      <c r="X12" s="4">
        <f>W12+$C$4</f>
        <v>6.0000000000000005E-2</v>
      </c>
      <c r="Y12" s="4">
        <f>X12+$C$4</f>
        <v>6.3333333333333339E-2</v>
      </c>
      <c r="Z12" s="4">
        <f>Y12+$C$4</f>
        <v>6.6666666666666666E-2</v>
      </c>
      <c r="AA12" s="4">
        <f>Z12+$C$4</f>
        <v>6.9999999999999993E-2</v>
      </c>
      <c r="AB12" s="4">
        <f>AA12+$C$4</f>
        <v>7.333333333333332E-2</v>
      </c>
      <c r="AC12" s="4">
        <f>AB12+$C$4</f>
        <v>7.6666666666666647E-2</v>
      </c>
      <c r="AD12" s="4">
        <f>AC12+$C$4</f>
        <v>7.9999999999999974E-2</v>
      </c>
      <c r="AE12" s="4">
        <f>AD12+$C$4</f>
        <v>8.3333333333333301E-2</v>
      </c>
      <c r="AF12" s="4">
        <f>AE12+$C$4</f>
        <v>8.6666666666666628E-2</v>
      </c>
      <c r="AG12" s="4">
        <f>AF12+$C$4</f>
        <v>8.9999999999999955E-2</v>
      </c>
      <c r="AH12" s="4">
        <f>AG12+$C$4</f>
        <v>9.3333333333333282E-2</v>
      </c>
      <c r="AI12" s="4">
        <f>AH12+$C$4</f>
        <v>9.6666666666666609E-2</v>
      </c>
      <c r="AJ12" s="4">
        <f>AI12+$C$4</f>
        <v>9.9999999999999936E-2</v>
      </c>
      <c r="AK12" s="5"/>
    </row>
    <row r="13" spans="1:37" x14ac:dyDescent="0.25">
      <c r="A13" s="5"/>
      <c r="B13" s="11" t="s">
        <v>9</v>
      </c>
      <c r="C13" s="1">
        <v>100</v>
      </c>
      <c r="D13" s="5"/>
      <c r="E13" s="9" t="s">
        <v>7</v>
      </c>
      <c r="F13" s="1">
        <f>C12</f>
        <v>300</v>
      </c>
      <c r="G13" s="1">
        <v>280.29321910927666</v>
      </c>
      <c r="H13" s="1">
        <v>260.76992620624469</v>
      </c>
      <c r="I13" s="1">
        <v>241.53714551581209</v>
      </c>
      <c r="J13" s="1">
        <v>222.84207649919702</v>
      </c>
      <c r="K13" s="1">
        <v>204.7079123846629</v>
      </c>
      <c r="L13" s="1">
        <v>187.4289915164546</v>
      </c>
      <c r="M13" s="1">
        <v>170.94358487196644</v>
      </c>
      <c r="N13" s="1">
        <v>155.57469985957152</v>
      </c>
      <c r="O13" s="1">
        <v>141.18090966932513</v>
      </c>
      <c r="P13" s="1">
        <v>128.0954363107559</v>
      </c>
      <c r="Q13" s="1">
        <v>116.10789194763245</v>
      </c>
      <c r="R13" s="1">
        <v>105.54484942154785</v>
      </c>
      <c r="S13" s="1">
        <v>96.141750367640611</v>
      </c>
      <c r="T13" s="1">
        <v>88.204275016251756</v>
      </c>
      <c r="U13" s="1">
        <v>81.430737487071141</v>
      </c>
      <c r="V13" s="1">
        <v>76.0947315135884</v>
      </c>
      <c r="W13" s="1">
        <v>71.874945509610782</v>
      </c>
      <c r="X13" s="1">
        <v>69.004658243588111</v>
      </c>
      <c r="Y13" s="1">
        <v>67.159404857464054</v>
      </c>
      <c r="Z13" s="1">
        <v>66.526467285105824</v>
      </c>
      <c r="AA13" s="1">
        <v>66.792668372921142</v>
      </c>
      <c r="AB13" s="1">
        <v>68.095607819509254</v>
      </c>
      <c r="AC13" s="1">
        <v>70.145329006594167</v>
      </c>
      <c r="AD13" s="1">
        <v>73.027547301287228</v>
      </c>
      <c r="AE13" s="1">
        <v>76.484917878539179</v>
      </c>
      <c r="AF13" s="1">
        <v>80.550175786705083</v>
      </c>
      <c r="AG13" s="1">
        <v>85.005694508489441</v>
      </c>
      <c r="AH13" s="1">
        <v>89.831025344161674</v>
      </c>
      <c r="AI13" s="1">
        <v>94.853464903053307</v>
      </c>
      <c r="AJ13" s="1">
        <f>C13</f>
        <v>100</v>
      </c>
      <c r="AK13" s="5"/>
    </row>
    <row r="14" spans="1:37" x14ac:dyDescent="0.25">
      <c r="A14" s="5"/>
      <c r="B14" s="5"/>
      <c r="C14" s="5"/>
      <c r="D14" s="5"/>
      <c r="E14" s="5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5"/>
    </row>
    <row r="15" spans="1:37" x14ac:dyDescent="0.25">
      <c r="A15" s="5"/>
      <c r="B15" s="5"/>
      <c r="C15" s="5"/>
      <c r="D15" s="5"/>
      <c r="E15" s="6" t="s">
        <v>10</v>
      </c>
      <c r="F15" s="6"/>
      <c r="G15" s="6">
        <f>G13+(($C$10*$C$5)/($C$9*$C$8))*((H13-2*G13+F13)/($C$4^2))</f>
        <v>280.38425738009278</v>
      </c>
      <c r="H15" s="6">
        <f>H13+(($C$10*$C$5)/($C$9*$C$8))*((I13-2*H13+G13)/($C$4^2))</f>
        <v>260.91406495788056</v>
      </c>
      <c r="I15" s="6">
        <f>I13+(($C$10*$C$5)/($C$9*$C$8))*((J13-2*I13+H13)/($C$4^2))</f>
        <v>241.80393323089848</v>
      </c>
      <c r="J15" s="6">
        <f>J13+(($C$10*$C$5)/($C$9*$C$8))*((K13-2*J13+I13)/($C$4^2))</f>
        <v>223.12037162369103</v>
      </c>
      <c r="K15" s="6">
        <f>K13+(($C$10*$C$5)/($C$9*$C$8))*((L13-2*K13+J13)/($C$4^2))</f>
        <v>205.13224461072457</v>
      </c>
      <c r="L15" s="6">
        <f>L13+(($C$10*$C$5)/($C$9*$C$8))*((M13-2*L13+K13)/($C$4^2))</f>
        <v>187.82269665053113</v>
      </c>
      <c r="M15" s="6">
        <f>M13+(($C$10*$C$5)/($C$9*$C$8))*((N13-2*M13+L13)/($C$4^2))</f>
        <v>171.49755137404347</v>
      </c>
      <c r="N15" s="6">
        <f>N13+(($C$10*$C$5)/($C$9*$C$8))*((O13-2*N13+M13)/($C$4^2))</f>
        <v>156.05849690594522</v>
      </c>
      <c r="O15" s="6">
        <f>O13+(($C$10*$C$5)/($C$9*$C$8))*((P13-2*O13+N13)/($C$4^2))</f>
        <v>141.83003609734956</v>
      </c>
      <c r="P15" s="6">
        <f>P13+(($C$10*$C$5)/($C$9*$C$8))*((Q13-2*P13+O13)/($C$4^2))</f>
        <v>128.64017800465015</v>
      </c>
      <c r="Q15" s="6">
        <f>Q13+(($C$10*$C$5)/($C$9*$C$8))*((R13-2*Q13+P13)/($C$4^2))</f>
        <v>116.8146640129325</v>
      </c>
      <c r="R15" s="6">
        <f>R13+(($C$10*$C$5)/($C$9*$C$8))*((S13-2*R13+Q13)/($C$4^2))</f>
        <v>106.1203598365897</v>
      </c>
      <c r="S15" s="6">
        <f>S13+(($C$10*$C$5)/($C$9*$C$8))*((T13-2*S13+R13)/($C$4^2))</f>
        <v>96.868925204659348</v>
      </c>
      <c r="T15" s="6">
        <f>T13+(($C$10*$C$5)/($C$9*$C$8))*((U13-2*T13+S13)/($C$4^2))</f>
        <v>88.781767243424312</v>
      </c>
      <c r="U15" s="6">
        <f>U13+(($C$10*$C$5)/($C$9*$C$8))*((V13-2*U13+T13)/($C$4^2))</f>
        <v>82.143974297398159</v>
      </c>
      <c r="V15" s="6">
        <f>V13+(($C$10*$C$5)/($C$9*$C$8))*((W13-2*V13+U13)/($C$4^2))</f>
        <v>76.648548344612095</v>
      </c>
      <c r="W15" s="6">
        <f>W13+(($C$10*$C$5)/($C$9*$C$8))*((X13-2*W13+V13)/($C$4^2))</f>
        <v>72.544504498826896</v>
      </c>
      <c r="X15" s="6">
        <f>X13+(($C$10*$C$5)/($C$9*$C$8))*((Y13-2*X13+W13)/($C$4^2))</f>
        <v>69.513232745537806</v>
      </c>
      <c r="Y15" s="6">
        <f>Y13+(($C$10*$C$5)/($C$9*$C$8))*((Z13-2*Y13+X13)/($C$4^2))</f>
        <v>67.760900011217103</v>
      </c>
      <c r="Z15" s="6">
        <f>Z13+(($C$10*$C$5)/($C$9*$C$8))*((AA13-2*Z13+Y13)/($C$4^2))</f>
        <v>66.97257838957654</v>
      </c>
      <c r="AA15" s="6">
        <f>AA13+(($C$10*$C$5)/($C$9*$C$8))*((AB13-2*AA13+Z13)/($C$4^2))</f>
        <v>67.307050097081486</v>
      </c>
      <c r="AB15" s="6">
        <f>AB13+(($C$10*$C$5)/($C$9*$C$8))*((AC13-2*AB13+AA13)/($C$4^2))</f>
        <v>68.466126452294205</v>
      </c>
      <c r="AC15" s="6">
        <f>AC13+(($C$10*$C$5)/($C$9*$C$8))*((AD13-2*AC13+AB13)/($C$4^2))</f>
        <v>70.558375648445903</v>
      </c>
      <c r="AD15" s="6">
        <f>AD13+(($C$10*$C$5)/($C$9*$C$8))*((AE13-2*AD13+AC13)/($C$4^2))</f>
        <v>73.312911318402982</v>
      </c>
      <c r="AE15" s="6">
        <f>AE13+(($C$10*$C$5)/($C$9*$C$8))*((AF13-2*AE13+AD13)/($C$4^2))</f>
        <v>76.786523515800326</v>
      </c>
      <c r="AF15" s="6">
        <f>AF13+(($C$10*$C$5)/($C$9*$C$8))*((AG13-2*AF13+AE13)/($C$4^2))</f>
        <v>80.743805190385004</v>
      </c>
      <c r="AG15" s="6">
        <f>AG13+(($C$10*$C$5)/($C$9*$C$8))*((AH13-2*AG13+AF13)/($C$4^2))</f>
        <v>85.189178211149198</v>
      </c>
      <c r="AH15" s="6">
        <f>AH13+(($C$10*$C$5)/($C$9*$C$8))*((AI13-2*AH13+AG13)/($C$4^2))</f>
        <v>89.92882159529745</v>
      </c>
      <c r="AI15" s="6">
        <f>AI13+(($C$10*$C$5)/($C$9*$C$8))*((AJ13-2*AI13+AH13)/($C$4^2))</f>
        <v>94.915035381549856</v>
      </c>
      <c r="AJ15" s="6"/>
      <c r="AK15" s="5"/>
    </row>
    <row r="16" spans="1:37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</row>
    <row r="17" spans="1:37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</row>
    <row r="18" spans="1:37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</row>
    <row r="19" spans="1:37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</row>
    <row r="20" spans="1:37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</row>
    <row r="21" spans="1:37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</row>
    <row r="22" spans="1:37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</row>
    <row r="23" spans="1:37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</row>
    <row r="24" spans="1:37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</row>
    <row r="25" spans="1:37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</row>
    <row r="26" spans="1:37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</row>
    <row r="27" spans="1:37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</row>
    <row r="28" spans="1:37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</row>
    <row r="29" spans="1:37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</row>
    <row r="30" spans="1:37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</row>
    <row r="31" spans="1:37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</row>
    <row r="32" spans="1:37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</row>
    <row r="33" spans="1:37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</row>
    <row r="34" spans="1:37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</row>
    <row r="35" spans="1:37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</row>
    <row r="36" spans="1:37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</row>
    <row r="37" spans="1:37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</row>
    <row r="38" spans="1:37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</row>
    <row r="39" spans="1:37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</row>
    <row r="40" spans="1:37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</row>
    <row r="41" spans="1:37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</row>
    <row r="42" spans="1:37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</row>
    <row r="43" spans="1:37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</row>
    <row r="44" spans="1:37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</row>
    <row r="45" spans="1:37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</row>
    <row r="46" spans="1:37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</row>
    <row r="47" spans="1:37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</row>
    <row r="48" spans="1:37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</row>
    <row r="49" spans="1:37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</row>
    <row r="50" spans="1:37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</row>
    <row r="51" spans="1:37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</row>
    <row r="52" spans="1:37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</row>
  </sheetData>
  <conditionalFormatting sqref="F13:AJ13">
    <cfRule type="colorScale" priority="1">
      <colorScale>
        <cfvo type="min"/>
        <cfvo type="max"/>
        <color rgb="FF7030A0"/>
        <color theme="7" tint="-0.249977111117893"/>
      </colorScale>
    </cfRule>
    <cfRule type="colorScale" priority="2">
      <colorScale>
        <cfvo type="min"/>
        <cfvo type="max"/>
        <color rgb="FF7030A0"/>
        <color rgb="FF00B0F0"/>
      </colorScale>
    </cfRule>
    <cfRule type="colorScale" priority="3">
      <colorScale>
        <cfvo type="min"/>
        <cfvo type="max"/>
        <color theme="6" tint="-0.499984740745262"/>
        <color theme="6" tint="0.79998168889431442"/>
      </colorScale>
    </cfRule>
    <cfRule type="colorScale" priority="4">
      <colorScale>
        <cfvo type="min"/>
        <cfvo type="percentile" val="50"/>
        <cfvo type="max"/>
        <color theme="9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M47"/>
  <sheetViews>
    <sheetView topLeftCell="A4" zoomScale="80" zoomScaleNormal="80" workbookViewId="0">
      <selection activeCell="C41" sqref="C41"/>
    </sheetView>
  </sheetViews>
  <sheetFormatPr defaultRowHeight="15" x14ac:dyDescent="0.25"/>
  <cols>
    <col min="3" max="3" width="9" bestFit="1" customWidth="1"/>
    <col min="6" max="6" width="11.5703125" bestFit="1" customWidth="1"/>
    <col min="7" max="16" width="13.7109375" bestFit="1" customWidth="1"/>
    <col min="17" max="18" width="13" bestFit="1" customWidth="1"/>
    <col min="19" max="34" width="13.7109375" bestFit="1" customWidth="1"/>
    <col min="35" max="35" width="13" bestFit="1" customWidth="1"/>
    <col min="36" max="36" width="7.140625" bestFit="1" customWidth="1"/>
  </cols>
  <sheetData>
    <row r="1" spans="1:39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</row>
    <row r="2" spans="1:39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</row>
    <row r="3" spans="1:39" x14ac:dyDescent="0.25">
      <c r="A3" s="6"/>
      <c r="B3" s="11" t="s">
        <v>0</v>
      </c>
      <c r="C3" s="1">
        <v>0.1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</row>
    <row r="4" spans="1:39" x14ac:dyDescent="0.25">
      <c r="A4" s="6"/>
      <c r="B4" s="11" t="s">
        <v>1</v>
      </c>
      <c r="C4" s="2">
        <f>C3/30</f>
        <v>3.3333333333333335E-3</v>
      </c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</row>
    <row r="5" spans="1:39" x14ac:dyDescent="0.25">
      <c r="A5" s="6"/>
      <c r="B5" s="11" t="s">
        <v>2</v>
      </c>
      <c r="C5" s="3">
        <v>2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</row>
    <row r="6" spans="1:39" x14ac:dyDescent="0.25">
      <c r="A6" s="6"/>
      <c r="B6" s="11" t="s">
        <v>3</v>
      </c>
      <c r="C6" s="1">
        <v>60</v>
      </c>
      <c r="D6" s="6">
        <v>62</v>
      </c>
      <c r="E6" s="6"/>
      <c r="F6" s="6">
        <f>C6/C5</f>
        <v>30</v>
      </c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</row>
    <row r="7" spans="1:39" x14ac:dyDescent="0.25">
      <c r="A7" s="6"/>
      <c r="B7" s="1"/>
      <c r="C7" s="1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x14ac:dyDescent="0.25">
      <c r="A8" s="6"/>
      <c r="B8" s="11" t="s">
        <v>4</v>
      </c>
      <c r="C8" s="1">
        <v>460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</row>
    <row r="9" spans="1:39" x14ac:dyDescent="0.25">
      <c r="A9" s="6"/>
      <c r="B9" s="11" t="s">
        <v>5</v>
      </c>
      <c r="C9" s="1">
        <v>7800</v>
      </c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</row>
    <row r="10" spans="1:39" x14ac:dyDescent="0.25">
      <c r="A10" s="6"/>
      <c r="B10" s="11" t="s">
        <v>6</v>
      </c>
      <c r="C10" s="1">
        <v>46</v>
      </c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39" x14ac:dyDescent="0.25">
      <c r="A11" s="6"/>
      <c r="B11" s="1"/>
      <c r="C11" s="1"/>
      <c r="D11" s="6"/>
      <c r="E11" s="6"/>
      <c r="F11" s="8">
        <v>1</v>
      </c>
      <c r="G11" s="8">
        <v>2</v>
      </c>
      <c r="H11" s="8">
        <v>3</v>
      </c>
      <c r="I11" s="8">
        <v>4</v>
      </c>
      <c r="J11" s="8">
        <v>5</v>
      </c>
      <c r="K11" s="8">
        <v>6</v>
      </c>
      <c r="L11" s="8">
        <v>7</v>
      </c>
      <c r="M11" s="8">
        <v>8</v>
      </c>
      <c r="N11" s="8">
        <v>9</v>
      </c>
      <c r="O11" s="8">
        <v>10</v>
      </c>
      <c r="P11" s="8">
        <v>11</v>
      </c>
      <c r="Q11" s="8">
        <v>12</v>
      </c>
      <c r="R11" s="8">
        <v>13</v>
      </c>
      <c r="S11" s="8">
        <v>14</v>
      </c>
      <c r="T11" s="8">
        <v>15</v>
      </c>
      <c r="U11" s="8">
        <v>16</v>
      </c>
      <c r="V11" s="8">
        <v>17</v>
      </c>
      <c r="W11" s="8">
        <v>18</v>
      </c>
      <c r="X11" s="8">
        <v>19</v>
      </c>
      <c r="Y11" s="8">
        <v>20</v>
      </c>
      <c r="Z11" s="8">
        <v>21</v>
      </c>
      <c r="AA11" s="8">
        <v>22</v>
      </c>
      <c r="AB11" s="8">
        <v>23</v>
      </c>
      <c r="AC11" s="8">
        <v>24</v>
      </c>
      <c r="AD11" s="8">
        <v>25</v>
      </c>
      <c r="AE11" s="8">
        <v>26</v>
      </c>
      <c r="AF11" s="8">
        <v>27</v>
      </c>
      <c r="AG11" s="8">
        <v>28</v>
      </c>
      <c r="AH11" s="8">
        <v>29</v>
      </c>
      <c r="AI11" s="8">
        <v>30</v>
      </c>
      <c r="AJ11" s="8">
        <v>31</v>
      </c>
      <c r="AK11" s="6"/>
      <c r="AL11" s="6"/>
      <c r="AM11" s="6"/>
    </row>
    <row r="12" spans="1:39" x14ac:dyDescent="0.25">
      <c r="A12" s="6"/>
      <c r="B12" s="11" t="s">
        <v>8</v>
      </c>
      <c r="C12" s="1">
        <v>300</v>
      </c>
      <c r="D12" s="6"/>
      <c r="E12" s="9" t="s">
        <v>0</v>
      </c>
      <c r="F12" s="4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  <c r="AK12" s="6"/>
      <c r="AL12" s="6"/>
      <c r="AM12" s="6"/>
    </row>
    <row r="13" spans="1:39" x14ac:dyDescent="0.25">
      <c r="A13" s="6"/>
      <c r="B13" s="11" t="s">
        <v>9</v>
      </c>
      <c r="C13" s="1">
        <v>100</v>
      </c>
      <c r="D13" s="6"/>
      <c r="E13" s="9" t="s">
        <v>7</v>
      </c>
      <c r="F13" s="1">
        <f>C12</f>
        <v>300</v>
      </c>
      <c r="G13" s="1">
        <v>223.01196062981921</v>
      </c>
      <c r="H13" s="1">
        <v>146.02398686922703</v>
      </c>
      <c r="I13" s="1">
        <v>97.093162137197396</v>
      </c>
      <c r="J13" s="1">
        <v>64.430425709051107</v>
      </c>
      <c r="K13" s="1">
        <v>42.766480644991702</v>
      </c>
      <c r="L13" s="1">
        <v>28.385815120587381</v>
      </c>
      <c r="M13" s="1">
        <v>18.840846904994219</v>
      </c>
      <c r="N13" s="1">
        <v>12.50542650202101</v>
      </c>
      <c r="O13" s="1">
        <v>8.3003436110029654</v>
      </c>
      <c r="P13" s="1">
        <v>5.5092728437355891</v>
      </c>
      <c r="Q13" s="1">
        <v>3.6567707025486853</v>
      </c>
      <c r="R13" s="1">
        <v>2.4272900108947102</v>
      </c>
      <c r="S13" s="1">
        <v>1.6114410245415405</v>
      </c>
      <c r="T13" s="1">
        <v>1.0703501418300778</v>
      </c>
      <c r="U13" s="1">
        <v>0.71205931232850905</v>
      </c>
      <c r="V13" s="1">
        <v>0.47597497482819962</v>
      </c>
      <c r="W13" s="1">
        <v>0.32277656291309853</v>
      </c>
      <c r="X13" s="1">
        <v>0.22818537875892103</v>
      </c>
      <c r="Y13" s="1">
        <v>0.17977533302705295</v>
      </c>
      <c r="Z13" s="1">
        <v>0.17677469157355463</v>
      </c>
      <c r="AA13" s="1">
        <v>0.23382308350480874</v>
      </c>
      <c r="AB13" s="1">
        <v>0.39134652476214238</v>
      </c>
      <c r="AC13" s="1">
        <v>0.73841745895379718</v>
      </c>
      <c r="AD13" s="1">
        <v>1.4603029716210434</v>
      </c>
      <c r="AE13" s="1">
        <v>2.9356413106430588</v>
      </c>
      <c r="AF13" s="1">
        <v>5.9339321035098518</v>
      </c>
      <c r="AG13" s="1">
        <v>12.016159131962283</v>
      </c>
      <c r="AH13" s="1">
        <v>24.346996362907895</v>
      </c>
      <c r="AI13" s="1">
        <v>49.341118950531083</v>
      </c>
      <c r="AJ13" s="1">
        <f>C13</f>
        <v>100</v>
      </c>
      <c r="AK13" s="6"/>
      <c r="AL13" s="6"/>
      <c r="AM13" s="6"/>
    </row>
    <row r="14" spans="1:39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</row>
    <row r="15" spans="1:39" x14ac:dyDescent="0.25">
      <c r="A15" s="6"/>
      <c r="B15" s="6"/>
      <c r="C15" s="6"/>
      <c r="D15" s="6"/>
      <c r="E15" s="6" t="s">
        <v>10</v>
      </c>
      <c r="F15" s="6"/>
      <c r="G15" s="6">
        <f t="shared" ref="G15:AC15" si="1">G18*H13+G19</f>
        <v>223.01198759266384</v>
      </c>
      <c r="H15" s="6">
        <f t="shared" si="1"/>
        <v>146.02402317867165</v>
      </c>
      <c r="I15" s="6">
        <f t="shared" si="1"/>
        <v>97.093208906350569</v>
      </c>
      <c r="J15" s="6">
        <f>J18*K13+J19</f>
        <v>64.430480594812423</v>
      </c>
      <c r="K15" s="6">
        <f t="shared" si="1"/>
        <v>42.766541665131015</v>
      </c>
      <c r="L15" s="6">
        <f t="shared" si="1"/>
        <v>28.385880224810112</v>
      </c>
      <c r="M15" s="6">
        <f t="shared" si="1"/>
        <v>18.84091416662487</v>
      </c>
      <c r="N15" s="6">
        <f t="shared" si="1"/>
        <v>12.505494199713317</v>
      </c>
      <c r="O15" s="6">
        <f t="shared" si="1"/>
        <v>8.3004102995671403</v>
      </c>
      <c r="P15" s="6">
        <f t="shared" si="1"/>
        <v>5.5093373984028258</v>
      </c>
      <c r="Q15" s="6">
        <f t="shared" si="1"/>
        <v>3.6568323378463368</v>
      </c>
      <c r="R15" s="6">
        <f t="shared" si="1"/>
        <v>2.4273482742253099</v>
      </c>
      <c r="S15" s="6">
        <f t="shared" si="1"/>
        <v>1.6114957659034419</v>
      </c>
      <c r="T15" s="6">
        <f t="shared" si="1"/>
        <v>1.0704014624458249</v>
      </c>
      <c r="U15" s="6">
        <f t="shared" si="1"/>
        <v>0.71210749658681549</v>
      </c>
      <c r="V15" s="6">
        <f t="shared" si="1"/>
        <v>0.47602041164501652</v>
      </c>
      <c r="W15" s="6">
        <f t="shared" si="1"/>
        <v>0.32281966402035317</v>
      </c>
      <c r="X15" s="6">
        <f t="shared" si="1"/>
        <v>0.22822650213497359</v>
      </c>
      <c r="Y15" s="6">
        <f t="shared" si="1"/>
        <v>0.17981471938186186</v>
      </c>
      <c r="Z15" s="6">
        <f t="shared" si="1"/>
        <v>0.1768124203818674</v>
      </c>
      <c r="AA15" s="6">
        <f t="shared" si="1"/>
        <v>0.23385905267422491</v>
      </c>
      <c r="AB15" s="6">
        <f t="shared" si="1"/>
        <v>0.39138045498282642</v>
      </c>
      <c r="AC15" s="6">
        <f t="shared" si="1"/>
        <v>0.73844892059626777</v>
      </c>
      <c r="AD15" s="6">
        <f t="shared" ref="AD15:AI15" si="2">AD18*AE13+AD19</f>
        <v>1.4603314292484557</v>
      </c>
      <c r="AE15" s="6">
        <f t="shared" si="2"/>
        <v>2.9356661782208162</v>
      </c>
      <c r="AF15" s="6">
        <f t="shared" si="2"/>
        <v>5.933952802496929</v>
      </c>
      <c r="AG15" s="6">
        <f t="shared" si="2"/>
        <v>12.016175144718723</v>
      </c>
      <c r="AH15" s="6">
        <f t="shared" si="2"/>
        <v>24.34700727511931</v>
      </c>
      <c r="AI15" s="6">
        <f t="shared" si="2"/>
        <v>49.341124478352853</v>
      </c>
      <c r="AJ15" s="6"/>
      <c r="AK15" s="6"/>
      <c r="AL15" s="6"/>
      <c r="AM15" s="6"/>
    </row>
    <row r="16" spans="1:39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</row>
    <row r="17" spans="1:39" x14ac:dyDescent="0.25">
      <c r="A17" s="6"/>
      <c r="B17" s="11" t="s">
        <v>11</v>
      </c>
      <c r="C17" s="1">
        <f>C10/C4^2</f>
        <v>4139999.9999999991</v>
      </c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</row>
    <row r="18" spans="1:39" x14ac:dyDescent="0.25">
      <c r="A18" s="6"/>
      <c r="B18" s="11" t="s">
        <v>12</v>
      </c>
      <c r="C18" s="1">
        <f>2*C10/C4^2+C9*C8/C5</f>
        <v>10073999.999999998</v>
      </c>
      <c r="D18" s="6"/>
      <c r="E18" s="7" t="s">
        <v>14</v>
      </c>
      <c r="F18" s="6">
        <v>0</v>
      </c>
      <c r="G18" s="6">
        <f>$C$17/($C$18+$C$19*F18)</f>
        <v>0.41095890410958902</v>
      </c>
      <c r="H18" s="6">
        <f>$C$17/($C$18+$C$19*G18)</f>
        <v>0.35158131321239366</v>
      </c>
      <c r="I18" s="6">
        <f t="shared" ref="I18:AI18" si="3">$C$17/($C$18+$C$19*H18)</f>
        <v>0.35907743213615234</v>
      </c>
      <c r="J18" s="6">
        <f t="shared" si="3"/>
        <v>0.35811350262856861</v>
      </c>
      <c r="K18" s="6">
        <f t="shared" si="3"/>
        <v>0.35823716472658917</v>
      </c>
      <c r="L18" s="6">
        <f t="shared" si="3"/>
        <v>0.35822129539446596</v>
      </c>
      <c r="M18" s="6">
        <f t="shared" si="3"/>
        <v>0.3582233317983578</v>
      </c>
      <c r="N18" s="6">
        <f t="shared" si="3"/>
        <v>0.35822307047914609</v>
      </c>
      <c r="O18" s="6">
        <f t="shared" si="3"/>
        <v>0.3582231040126152</v>
      </c>
      <c r="P18" s="6">
        <f t="shared" si="3"/>
        <v>0.35822309970947341</v>
      </c>
      <c r="Q18" s="6">
        <f t="shared" si="3"/>
        <v>0.35822310026166887</v>
      </c>
      <c r="R18" s="6">
        <f t="shared" si="3"/>
        <v>0.35822310019080905</v>
      </c>
      <c r="S18" s="6">
        <f t="shared" si="3"/>
        <v>0.358223100199902</v>
      </c>
      <c r="T18" s="6">
        <f t="shared" si="3"/>
        <v>0.35822310019873521</v>
      </c>
      <c r="U18" s="6">
        <f t="shared" si="3"/>
        <v>0.35822310019888493</v>
      </c>
      <c r="V18" s="6">
        <f t="shared" si="3"/>
        <v>0.35822310019886566</v>
      </c>
      <c r="W18" s="6">
        <f t="shared" si="3"/>
        <v>0.35822310019886816</v>
      </c>
      <c r="X18" s="6">
        <f t="shared" si="3"/>
        <v>0.35822310019886788</v>
      </c>
      <c r="Y18" s="6">
        <f t="shared" si="3"/>
        <v>0.35822310019886788</v>
      </c>
      <c r="Z18" s="6">
        <f t="shared" si="3"/>
        <v>0.35822310019886788</v>
      </c>
      <c r="AA18" s="6">
        <f t="shared" si="3"/>
        <v>0.35822310019886788</v>
      </c>
      <c r="AB18" s="6">
        <f t="shared" si="3"/>
        <v>0.35822310019886788</v>
      </c>
      <c r="AC18" s="6">
        <f t="shared" si="3"/>
        <v>0.35822310019886788</v>
      </c>
      <c r="AD18" s="6">
        <f t="shared" si="3"/>
        <v>0.35822310019886788</v>
      </c>
      <c r="AE18" s="6">
        <f t="shared" si="3"/>
        <v>0.35822310019886788</v>
      </c>
      <c r="AF18" s="6">
        <f t="shared" si="3"/>
        <v>0.35822310019886788</v>
      </c>
      <c r="AG18" s="6">
        <f t="shared" si="3"/>
        <v>0.35822310019886788</v>
      </c>
      <c r="AH18" s="6">
        <f t="shared" si="3"/>
        <v>0.35822310019886788</v>
      </c>
      <c r="AI18" s="6">
        <f t="shared" si="3"/>
        <v>0.35822310019886788</v>
      </c>
      <c r="AJ18" s="6"/>
      <c r="AK18" s="6"/>
      <c r="AL18" s="6"/>
      <c r="AM18" s="6"/>
    </row>
    <row r="19" spans="1:39" x14ac:dyDescent="0.25">
      <c r="A19" s="6"/>
      <c r="B19" s="11" t="s">
        <v>13</v>
      </c>
      <c r="C19" s="1">
        <f>C10/C4^2</f>
        <v>4139999.9999999991</v>
      </c>
      <c r="D19" s="6"/>
      <c r="E19" s="7" t="s">
        <v>15</v>
      </c>
      <c r="F19" s="6">
        <f>F13</f>
        <v>300</v>
      </c>
      <c r="G19" s="6">
        <f>(F19*$C$19-G20)/($C$18-$C$19*F18)</f>
        <v>163.00212997517329</v>
      </c>
      <c r="H19" s="6">
        <f t="shared" ref="H19:AI19" si="4">(G19*$C$19-H20)/($C$18-$C$19*G18)</f>
        <v>111.88788173053193</v>
      </c>
      <c r="I19" s="6">
        <f t="shared" si="4"/>
        <v>73.957697091305363</v>
      </c>
      <c r="J19" s="6">
        <f t="shared" si="4"/>
        <v>49.115226415937563</v>
      </c>
      <c r="K19" s="6">
        <f t="shared" si="4"/>
        <v>32.597687737878651</v>
      </c>
      <c r="L19" s="6">
        <f t="shared" si="4"/>
        <v>21.636687640174269</v>
      </c>
      <c r="M19" s="6">
        <f t="shared" si="4"/>
        <v>14.361178619511421</v>
      </c>
      <c r="N19" s="6">
        <f t="shared" si="4"/>
        <v>9.5321196253478711</v>
      </c>
      <c r="O19" s="6">
        <f t="shared" si="4"/>
        <v>6.32686148063177</v>
      </c>
      <c r="P19" s="6">
        <f t="shared" si="4"/>
        <v>4.199397662409047</v>
      </c>
      <c r="Q19" s="6">
        <f t="shared" si="4"/>
        <v>2.7873209849094538</v>
      </c>
      <c r="R19" s="6">
        <f t="shared" si="4"/>
        <v>1.8500928746393857</v>
      </c>
      <c r="S19" s="6">
        <f t="shared" si="4"/>
        <v>1.2280716197976667</v>
      </c>
      <c r="T19" s="6">
        <f t="shared" si="4"/>
        <v>0.81532536805812694</v>
      </c>
      <c r="U19" s="6">
        <f t="shared" si="4"/>
        <v>0.54160226548677159</v>
      </c>
      <c r="V19" s="6">
        <f t="shared" si="4"/>
        <v>0.36039439060675216</v>
      </c>
      <c r="W19" s="6">
        <f t="shared" si="4"/>
        <v>0.24107839022127953</v>
      </c>
      <c r="X19" s="6">
        <f t="shared" si="4"/>
        <v>0.16382682499873874</v>
      </c>
      <c r="Y19" s="6">
        <f t="shared" si="4"/>
        <v>0.11648994132968443</v>
      </c>
      <c r="Z19" s="6">
        <f t="shared" si="4"/>
        <v>9.3051590510716042E-2</v>
      </c>
      <c r="AA19" s="6">
        <f t="shared" si="4"/>
        <v>9.3669687321877249E-2</v>
      </c>
      <c r="AB19" s="6">
        <f t="shared" si="4"/>
        <v>0.12686226359542691</v>
      </c>
      <c r="AC19" s="6">
        <f t="shared" si="4"/>
        <v>0.21533466287255817</v>
      </c>
      <c r="AD19" s="6">
        <f t="shared" si="4"/>
        <v>0.40871689787803134</v>
      </c>
      <c r="AE19" s="6">
        <f t="shared" si="4"/>
        <v>0.80999462373192754</v>
      </c>
      <c r="AF19" s="6">
        <f t="shared" si="4"/>
        <v>1.6294870257624627</v>
      </c>
      <c r="AG19" s="6">
        <f t="shared" si="4"/>
        <v>3.294518627067295</v>
      </c>
      <c r="AH19" s="6">
        <f t="shared" si="4"/>
        <v>6.6718786773789569</v>
      </c>
      <c r="AI19" s="6">
        <f t="shared" si="4"/>
        <v>13.518814458466064</v>
      </c>
      <c r="AJ19" s="6"/>
      <c r="AK19" s="6"/>
      <c r="AL19" s="6"/>
      <c r="AM19" s="6"/>
    </row>
    <row r="20" spans="1:39" x14ac:dyDescent="0.25">
      <c r="A20" s="6"/>
      <c r="B20" s="6"/>
      <c r="C20" s="6"/>
      <c r="D20" s="6"/>
      <c r="E20" s="7" t="s">
        <v>16</v>
      </c>
      <c r="F20" s="6">
        <f>-$C$9*$C$8/$C$5*F13</f>
        <v>-538200000</v>
      </c>
      <c r="G20" s="6">
        <f t="shared" ref="G20:AI20" si="5">-$C$9*$C$8/$C$5*G13</f>
        <v>-400083457.3698957</v>
      </c>
      <c r="H20" s="6">
        <f t="shared" si="5"/>
        <v>-261967032.44339329</v>
      </c>
      <c r="I20" s="6">
        <f t="shared" si="5"/>
        <v>-174185132.87413213</v>
      </c>
      <c r="J20" s="6">
        <f t="shared" si="5"/>
        <v>-115588183.72203769</v>
      </c>
      <c r="K20" s="6">
        <f t="shared" si="5"/>
        <v>-76723066.277115107</v>
      </c>
      <c r="L20" s="6">
        <f t="shared" si="5"/>
        <v>-50924152.326333761</v>
      </c>
      <c r="M20" s="6">
        <f t="shared" si="5"/>
        <v>-33800479.347559631</v>
      </c>
      <c r="N20" s="6">
        <f t="shared" si="5"/>
        <v>-22434735.14462569</v>
      </c>
      <c r="O20" s="6">
        <f t="shared" si="5"/>
        <v>-14890816.438139319</v>
      </c>
      <c r="P20" s="6">
        <f t="shared" si="5"/>
        <v>-9883635.4816616476</v>
      </c>
      <c r="Q20" s="6">
        <f t="shared" si="5"/>
        <v>-6560246.6403723415</v>
      </c>
      <c r="R20" s="6">
        <f t="shared" si="5"/>
        <v>-4354558.2795451097</v>
      </c>
      <c r="S20" s="6">
        <f t="shared" si="5"/>
        <v>-2890925.1980275237</v>
      </c>
      <c r="T20" s="6">
        <f t="shared" si="5"/>
        <v>-1920208.1544431597</v>
      </c>
      <c r="U20" s="6">
        <f t="shared" si="5"/>
        <v>-1277434.4063173453</v>
      </c>
      <c r="V20" s="6">
        <f t="shared" si="5"/>
        <v>-853899.10484179016</v>
      </c>
      <c r="W20" s="6">
        <f t="shared" si="5"/>
        <v>-579061.15386609873</v>
      </c>
      <c r="X20" s="6">
        <f t="shared" si="5"/>
        <v>-409364.56949350436</v>
      </c>
      <c r="Y20" s="6">
        <f t="shared" si="5"/>
        <v>-322516.94745053299</v>
      </c>
      <c r="Z20" s="6">
        <f t="shared" si="5"/>
        <v>-317133.79668295704</v>
      </c>
      <c r="AA20" s="6">
        <f t="shared" si="5"/>
        <v>-419478.61180762685</v>
      </c>
      <c r="AB20" s="6">
        <f t="shared" si="5"/>
        <v>-702075.66542328347</v>
      </c>
      <c r="AC20" s="6">
        <f t="shared" si="5"/>
        <v>-1324720.9213631121</v>
      </c>
      <c r="AD20" s="6">
        <f t="shared" si="5"/>
        <v>-2619783.531088152</v>
      </c>
      <c r="AE20" s="6">
        <f t="shared" si="5"/>
        <v>-5266540.5112936478</v>
      </c>
      <c r="AF20" s="6">
        <f t="shared" si="5"/>
        <v>-10645474.193696674</v>
      </c>
      <c r="AG20" s="6">
        <f t="shared" si="5"/>
        <v>-21556989.482740335</v>
      </c>
      <c r="AH20" s="6">
        <f t="shared" si="5"/>
        <v>-43678511.47505676</v>
      </c>
      <c r="AI20" s="6">
        <f t="shared" si="5"/>
        <v>-88517967.397252768</v>
      </c>
      <c r="AJ20" s="6"/>
      <c r="AK20" s="6"/>
      <c r="AL20" s="6"/>
      <c r="AM20" s="6"/>
    </row>
    <row r="21" spans="1:39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</row>
    <row r="22" spans="1:39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</row>
    <row r="23" spans="1:39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</row>
    <row r="24" spans="1:39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</row>
    <row r="25" spans="1:39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</row>
    <row r="26" spans="1:39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</row>
    <row r="27" spans="1:39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</row>
    <row r="28" spans="1:39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</row>
    <row r="29" spans="1:39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</row>
    <row r="30" spans="1:39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</row>
    <row r="31" spans="1:39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</row>
    <row r="32" spans="1:39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</row>
    <row r="33" spans="1:39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</row>
    <row r="34" spans="1:39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</row>
    <row r="35" spans="1:39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</row>
    <row r="36" spans="1:39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</row>
    <row r="37" spans="1:39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</row>
    <row r="38" spans="1:39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</row>
    <row r="39" spans="1:39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</row>
    <row r="40" spans="1:39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</row>
    <row r="41" spans="1:39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</row>
    <row r="42" spans="1:39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</row>
    <row r="43" spans="1:39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</row>
    <row r="44" spans="1:39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</row>
    <row r="45" spans="1:39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</row>
    <row r="46" spans="1:39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</row>
    <row r="47" spans="1:39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</row>
  </sheetData>
  <conditionalFormatting sqref="F13:AJ13">
    <cfRule type="colorScale" priority="1">
      <colorScale>
        <cfvo type="min"/>
        <cfvo type="max"/>
        <color rgb="FF7030A0"/>
        <color theme="7" tint="-0.249977111117893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2060"/>
      </colorScale>
    </cfRule>
    <cfRule type="colorScale" priority="4">
      <colorScale>
        <cfvo type="min"/>
        <cfvo type="percentile" val="50"/>
        <cfvo type="max"/>
        <color rgb="FFFFC000"/>
        <color rgb="FF00B0F0"/>
        <color rgb="FF002060"/>
      </colorScale>
    </cfRule>
    <cfRule type="colorScale" priority="5">
      <colorScale>
        <cfvo type="min"/>
        <cfvo type="percentile" val="50"/>
        <cfvo type="max"/>
        <color theme="9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 Струздюмов</dc:creator>
  <cp:lastModifiedBy>Алексей Струздюмов</cp:lastModifiedBy>
  <dcterms:created xsi:type="dcterms:W3CDTF">2015-06-05T18:17:20Z</dcterms:created>
  <dcterms:modified xsi:type="dcterms:W3CDTF">2021-05-17T18:29:51Z</dcterms:modified>
</cp:coreProperties>
</file>