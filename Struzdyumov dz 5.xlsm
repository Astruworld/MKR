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Study\6 semestr\MCC\Струздюмов\"/>
    </mc:Choice>
  </mc:AlternateContent>
  <xr:revisionPtr revIDLastSave="0" documentId="13_ncr:1_{45FA7EBD-008C-4FDA-A11F-996B446B64AC}" xr6:coauthVersionLast="36" xr6:coauthVersionMax="36" xr10:uidLastSave="{00000000-0000-0000-0000-000000000000}"/>
  <bookViews>
    <workbookView xWindow="-105" yWindow="-105" windowWidth="22140" windowHeight="13170" xr2:uid="{00000000-000D-0000-FFFF-FFFF00000000}"/>
  </bookViews>
  <sheets>
    <sheet name="ro=const" sheetId="1" r:id="rId1"/>
    <sheet name="ro=var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 l="1"/>
  <c r="J3" i="1" s="1"/>
  <c r="K3" i="1" s="1"/>
  <c r="L3" i="1" s="1"/>
  <c r="M3" i="1" s="1"/>
  <c r="N3" i="1" s="1"/>
  <c r="O3" i="1" s="1"/>
  <c r="P3" i="1" s="1"/>
  <c r="P4" i="1" s="1"/>
  <c r="I3" i="2"/>
  <c r="I4" i="2" s="1"/>
  <c r="I16" i="2"/>
  <c r="I17" i="2" s="1"/>
  <c r="M16" i="2"/>
  <c r="M17" i="2" s="1"/>
  <c r="M18" i="2" s="1"/>
  <c r="Q16" i="2"/>
  <c r="Q17" i="2" s="1"/>
  <c r="J16" i="2"/>
  <c r="J17" i="2" s="1"/>
  <c r="J18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N18" i="2"/>
  <c r="J3" i="2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G18" i="1"/>
  <c r="G21" i="1" s="1"/>
  <c r="J18" i="1"/>
  <c r="J21" i="1" s="1"/>
  <c r="H18" i="1"/>
  <c r="H21" i="1" s="1"/>
  <c r="G9" i="1"/>
  <c r="G13" i="1"/>
  <c r="N4" i="1" l="1"/>
  <c r="K4" i="1"/>
  <c r="O4" i="1"/>
  <c r="I4" i="1"/>
  <c r="I9" i="1" s="1"/>
  <c r="H10" i="1" s="1"/>
  <c r="H13" i="1" s="1"/>
  <c r="M4" i="1"/>
  <c r="J4" i="1"/>
  <c r="J9" i="1" s="1"/>
  <c r="L4" i="1"/>
  <c r="G20" i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L9" i="1"/>
  <c r="G10" i="1"/>
  <c r="K9" i="1"/>
  <c r="M12" i="1"/>
  <c r="I10" i="1" l="1"/>
  <c r="I13" i="1" s="1"/>
  <c r="J10" i="1"/>
  <c r="J13" i="1" s="1"/>
  <c r="G14" i="2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<sst xmlns="http://schemas.openxmlformats.org/spreadsheetml/2006/main" count="182" uniqueCount="25">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</sst>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  <xf numFmtId="0" fontId="0" fillId="7" borderId="1" xfId="0" applyFont="1" applyFill="1" applyBorder="1"/>
    <xf numFmtId="0" fontId="0" fillId="8" borderId="1" xfId="0" applyFont="1" applyFill="1" applyBorder="1"/>
    <xf numFmtId="165" fontId="2" fillId="9" borderId="1" xfId="0" applyNumberFormat="1" applyFont="1" applyFill="1" applyBorder="1" applyAlignment="1">
      <alignment horizontal="center"/>
    </xf>
    <xf numFmtId="1" fontId="0" fillId="9" borderId="1" xfId="0" applyNumberFormat="1" applyFont="1" applyFill="1" applyBorder="1" applyAlignment="1">
      <alignment horizontal="center"/>
    </xf>
    <xf numFmtId="166" fontId="0" fillId="9" borderId="1" xfId="0" applyNumberFormat="1" applyFont="1" applyFill="1" applyBorder="1" applyAlignment="1">
      <alignment horizontal="center"/>
    </xf>
    <xf numFmtId="2" fontId="2" fillId="10" borderId="1" xfId="0" applyNumberFormat="1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1.3666922961596801</c:v>
                </c:pt>
                <c:pt idx="1">
                  <c:v>1.366696333119227</c:v>
                </c:pt>
                <c:pt idx="2">
                  <c:v>1.3669210835878063</c:v>
                </c:pt>
                <c:pt idx="3">
                  <c:v>1.3671779859672326</c:v>
                </c:pt>
                <c:pt idx="4">
                  <c:v>1.3674446497747763</c:v>
                </c:pt>
                <c:pt idx="5">
                  <c:v>1.3676977671111896</c:v>
                </c:pt>
                <c:pt idx="6">
                  <c:v>1.3679154194251468</c:v>
                </c:pt>
                <c:pt idx="7">
                  <c:v>1.3680804336335577</c:v>
                </c:pt>
                <c:pt idx="8">
                  <c:v>1.3681845427984738</c:v>
                </c:pt>
                <c:pt idx="9">
                  <c:v>1.3682323146102264</c:v>
                </c:pt>
                <c:pt idx="10">
                  <c:v>1.368242444677719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133050.46566349943</c:v>
                </c:pt>
                <c:pt idx="1">
                  <c:v>132583.68610779152</c:v>
                </c:pt>
                <c:pt idx="2">
                  <c:v>131973.4740316126</c:v>
                </c:pt>
                <c:pt idx="3">
                  <c:v>131164.72557936158</c:v>
                </c:pt>
                <c:pt idx="4">
                  <c:v>130074.86367655391</c:v>
                </c:pt>
                <c:pt idx="5">
                  <c:v>128578.36924798737</c:v>
                </c:pt>
                <c:pt idx="6">
                  <c:v>126479.23782790688</c:v>
                </c:pt>
                <c:pt idx="7">
                  <c:v>123461.8388894309</c:v>
                </c:pt>
                <c:pt idx="8">
                  <c:v>118999.6006509499</c:v>
                </c:pt>
                <c:pt idx="9">
                  <c:v>112177.2001347576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57.361601359703073</c:v>
                </c:pt>
                <c:pt idx="1">
                  <c:v>63.558748734593799</c:v>
                </c:pt>
                <c:pt idx="2">
                  <c:v>70.828642925989783</c:v>
                </c:pt>
                <c:pt idx="3">
                  <c:v>79.42144736245352</c:v>
                </c:pt>
                <c:pt idx="4">
                  <c:v>89.676893600190397</c:v>
                </c:pt>
                <c:pt idx="5">
                  <c:v>102.05131802389884</c:v>
                </c:pt>
                <c:pt idx="6">
                  <c:v>117.16945731853501</c:v>
                </c:pt>
                <c:pt idx="7">
                  <c:v>135.90529983756744</c:v>
                </c:pt>
                <c:pt idx="8">
                  <c:v>159.51216842000676</c:v>
                </c:pt>
                <c:pt idx="9">
                  <c:v>189.83933274436757</c:v>
                </c:pt>
                <c:pt idx="10">
                  <c:v>229.70730998600931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ln>
          <a:solidFill>
            <a:schemeClr val="bg2"/>
          </a:solidFill>
        </a:ln>
      </c:spPr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57.361601359703073</c:v>
                </c:pt>
                <c:pt idx="1">
                  <c:v>63.558748734593799</c:v>
                </c:pt>
                <c:pt idx="2">
                  <c:v>70.828642925989783</c:v>
                </c:pt>
                <c:pt idx="3">
                  <c:v>79.42144736245352</c:v>
                </c:pt>
                <c:pt idx="4">
                  <c:v>89.676893600190397</c:v>
                </c:pt>
                <c:pt idx="5">
                  <c:v>102.05131802389884</c:v>
                </c:pt>
                <c:pt idx="6">
                  <c:v>117.16945731853501</c:v>
                </c:pt>
                <c:pt idx="7">
                  <c:v>135.90529983756744</c:v>
                </c:pt>
                <c:pt idx="8">
                  <c:v>159.51216842000676</c:v>
                </c:pt>
                <c:pt idx="9">
                  <c:v>189.83933274436757</c:v>
                </c:pt>
                <c:pt idx="10">
                  <c:v>229.70730998600931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57.361601359703073</c:v>
                </c:pt>
                <c:pt idx="1">
                  <c:v>63.558748734593799</c:v>
                </c:pt>
                <c:pt idx="2">
                  <c:v>70.828642925989783</c:v>
                </c:pt>
                <c:pt idx="3">
                  <c:v>79.42144736245352</c:v>
                </c:pt>
                <c:pt idx="4">
                  <c:v>89.676893600190397</c:v>
                </c:pt>
                <c:pt idx="5">
                  <c:v>102.05131802389884</c:v>
                </c:pt>
                <c:pt idx="6">
                  <c:v>117.16945731853501</c:v>
                </c:pt>
                <c:pt idx="7">
                  <c:v>135.90529983756744</c:v>
                </c:pt>
                <c:pt idx="8">
                  <c:v>159.51216842000676</c:v>
                </c:pt>
                <c:pt idx="9">
                  <c:v>189.83933274436757</c:v>
                </c:pt>
                <c:pt idx="10">
                  <c:v>229.70730998600931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223155</xdr:colOff>
      <xdr:row>23</xdr:row>
      <xdr:rowOff>137432</xdr:rowOff>
    </xdr:from>
    <xdr:to>
      <xdr:col>7</xdr:col>
      <xdr:colOff>232680</xdr:colOff>
      <xdr:row>44</xdr:row>
      <xdr:rowOff>99332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473528</xdr:colOff>
      <xdr:row>30</xdr:row>
      <xdr:rowOff>130628</xdr:rowOff>
    </xdr:from>
    <xdr:to>
      <xdr:col>25</xdr:col>
      <xdr:colOff>23131</xdr:colOff>
      <xdr:row>55</xdr:row>
      <xdr:rowOff>131989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Фиолетовый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V29"/>
  <sheetViews>
    <sheetView tabSelected="1" zoomScale="70" zoomScaleNormal="70" workbookViewId="0">
      <selection activeCell="V11" sqref="V11"/>
    </sheetView>
  </sheetViews>
  <sheetFormatPr defaultRowHeight="15" x14ac:dyDescent="0.25"/>
  <cols>
    <col min="7" max="7" width="11.140625" bestFit="1" customWidth="1"/>
  </cols>
  <sheetData>
    <row r="1" spans="2:17" x14ac:dyDescent="0.25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21" t="s">
        <v>0</v>
      </c>
      <c r="C3" s="21">
        <v>0.1</v>
      </c>
      <c r="D3" s="2"/>
      <c r="E3" s="2"/>
      <c r="F3" s="3" t="s">
        <v>3</v>
      </c>
      <c r="G3" s="2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26">
        <v>0.04</v>
      </c>
    </row>
    <row r="4" spans="2:17" x14ac:dyDescent="0.25">
      <c r="B4" s="21" t="s">
        <v>1</v>
      </c>
      <c r="C4" s="21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B5" s="2"/>
      <c r="C5" s="2"/>
      <c r="D5" s="2"/>
      <c r="E5" s="2"/>
      <c r="F5" s="9" t="s">
        <v>11</v>
      </c>
      <c r="G5" s="10">
        <v>57.361601359703073</v>
      </c>
      <c r="H5" s="10">
        <v>63.558748734593799</v>
      </c>
      <c r="I5" s="10">
        <v>70.828642925989783</v>
      </c>
      <c r="J5" s="10">
        <v>79.42144736245352</v>
      </c>
      <c r="K5" s="10">
        <v>89.676893600190397</v>
      </c>
      <c r="L5" s="10">
        <v>102.05131802389884</v>
      </c>
      <c r="M5" s="10">
        <v>117.16945731853501</v>
      </c>
      <c r="N5" s="10">
        <v>135.90529983756744</v>
      </c>
      <c r="O5" s="10">
        <v>159.51216842000676</v>
      </c>
      <c r="P5" s="10">
        <v>189.83933274436757</v>
      </c>
      <c r="Q5" s="10">
        <v>229.70730998600931</v>
      </c>
    </row>
    <row r="6" spans="2:17" x14ac:dyDescent="0.25">
      <c r="B6" s="11" t="s">
        <v>2</v>
      </c>
      <c r="C6" s="11">
        <v>1.4</v>
      </c>
      <c r="D6" s="2"/>
      <c r="E6" s="2"/>
      <c r="F6" s="9" t="s">
        <v>12</v>
      </c>
      <c r="G6" s="10">
        <v>133050.46566349943</v>
      </c>
      <c r="H6" s="10">
        <v>132583.68610779152</v>
      </c>
      <c r="I6" s="10">
        <v>131973.4740316126</v>
      </c>
      <c r="J6" s="10">
        <v>131164.72557936158</v>
      </c>
      <c r="K6" s="10">
        <v>130074.86367655391</v>
      </c>
      <c r="L6" s="10">
        <v>128578.36924798737</v>
      </c>
      <c r="M6" s="10">
        <v>126479.23782790688</v>
      </c>
      <c r="N6" s="10">
        <v>123461.8388894309</v>
      </c>
      <c r="O6" s="10">
        <v>118999.6006509499</v>
      </c>
      <c r="P6" s="10">
        <v>112177.2001347576</v>
      </c>
      <c r="Q6" s="10">
        <v>101325</v>
      </c>
    </row>
    <row r="7" spans="2:17" x14ac:dyDescent="0.25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 x14ac:dyDescent="0.25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25">
      <c r="B9" s="2"/>
      <c r="C9" s="2"/>
      <c r="D9" s="2"/>
      <c r="E9" s="2"/>
      <c r="F9" s="3" t="s">
        <v>14</v>
      </c>
      <c r="G9" s="7">
        <f>G4*G7*G12</f>
        <v>1.3666922961596801</v>
      </c>
      <c r="H9" s="7">
        <f>H4*H7*H12</f>
        <v>1.366696333119227</v>
      </c>
      <c r="I9" s="7">
        <f t="shared" ref="I9:Q9" si="3">I4*I7*I12</f>
        <v>1.3669210835878063</v>
      </c>
      <c r="J9" s="7">
        <f t="shared" si="3"/>
        <v>1.3671779859672326</v>
      </c>
      <c r="K9" s="7">
        <f t="shared" si="3"/>
        <v>1.3674446497747763</v>
      </c>
      <c r="L9" s="7">
        <f t="shared" si="3"/>
        <v>1.3676977671111896</v>
      </c>
      <c r="M9" s="7">
        <f t="shared" si="3"/>
        <v>1.3679154194251468</v>
      </c>
      <c r="N9" s="7">
        <f t="shared" si="3"/>
        <v>1.3680804336335577</v>
      </c>
      <c r="O9" s="7">
        <f t="shared" si="3"/>
        <v>1.3681845427984738</v>
      </c>
      <c r="P9" s="7">
        <f t="shared" si="3"/>
        <v>1.3682323146102264</v>
      </c>
      <c r="Q9" s="7">
        <f t="shared" si="3"/>
        <v>1.368242444677719</v>
      </c>
    </row>
    <row r="10" spans="2:17" x14ac:dyDescent="0.25">
      <c r="B10" s="22" t="s">
        <v>5</v>
      </c>
      <c r="C10" s="22">
        <v>135000</v>
      </c>
      <c r="D10" s="2"/>
      <c r="E10" s="2"/>
      <c r="F10" s="3" t="s">
        <v>15</v>
      </c>
      <c r="G10" s="15">
        <f>(G12)*(G9-H9)</f>
        <v>-2.3156714798591786E-4</v>
      </c>
      <c r="H10" s="15">
        <f>(H12)*(H9-I9)</f>
        <v>-1.4284900755277243E-2</v>
      </c>
      <c r="I10" s="15">
        <f t="shared" ref="I10:P10" si="4">(I12)*(I9-J9)</f>
        <v>-1.8196101595655149E-2</v>
      </c>
      <c r="J10" s="15">
        <f t="shared" si="4"/>
        <v>-2.117888461423062E-2</v>
      </c>
      <c r="K10" s="15">
        <f t="shared" si="4"/>
        <v>-2.269883025041709E-2</v>
      </c>
      <c r="L10" s="15">
        <f t="shared" si="4"/>
        <v>-2.2211746218972886E-2</v>
      </c>
      <c r="M10" s="15">
        <f t="shared" si="4"/>
        <v>-1.9334649714334674E-2</v>
      </c>
      <c r="N10" s="15">
        <f t="shared" si="4"/>
        <v>-1.4148997968800493E-2</v>
      </c>
      <c r="O10" s="15">
        <f t="shared" si="4"/>
        <v>-7.6201881408911069E-3</v>
      </c>
      <c r="P10" s="15">
        <f t="shared" si="4"/>
        <v>-1.9230855569278128E-3</v>
      </c>
      <c r="Q10" s="25">
        <v>0</v>
      </c>
    </row>
    <row r="11" spans="2:17" x14ac:dyDescent="0.25">
      <c r="B11" s="22" t="s">
        <v>6</v>
      </c>
      <c r="C11" s="22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22" t="s">
        <v>12</v>
      </c>
      <c r="C12" s="22">
        <v>101325</v>
      </c>
      <c r="D12" s="2"/>
      <c r="E12" s="2"/>
      <c r="F12" s="3" t="s">
        <v>11</v>
      </c>
      <c r="G12" s="23">
        <f>(H4*H5*H7)/(G4*G7)</f>
        <v>57.361770732970903</v>
      </c>
      <c r="H12" s="5">
        <f>((G6-H6)/H7+G5*H5)^0.5</f>
        <v>63.55893647553463</v>
      </c>
      <c r="I12" s="5">
        <f t="shared" ref="I12:Q12" si="5">((H6-I6)/I7+H5*I5)^0.5</f>
        <v>70.828855833440514</v>
      </c>
      <c r="J12" s="5">
        <f t="shared" si="5"/>
        <v>79.421668839555522</v>
      </c>
      <c r="K12" s="5">
        <f t="shared" si="5"/>
        <v>89.677106167680876</v>
      </c>
      <c r="L12" s="5">
        <f t="shared" si="5"/>
        <v>102.05150505930324</v>
      </c>
      <c r="M12" s="5">
        <f t="shared" si="5"/>
        <v>117.16960557841188</v>
      </c>
      <c r="N12" s="5">
        <f t="shared" si="5"/>
        <v>135.90540256665204</v>
      </c>
      <c r="O12" s="5">
        <f t="shared" si="5"/>
        <v>159.51222826440323</v>
      </c>
      <c r="P12" s="5">
        <f t="shared" si="5"/>
        <v>189.8393627020636</v>
      </c>
      <c r="Q12" s="5">
        <f t="shared" si="5"/>
        <v>229.70732955548328</v>
      </c>
    </row>
    <row r="13" spans="2:17" x14ac:dyDescent="0.25">
      <c r="B13" s="2"/>
      <c r="C13" s="2"/>
      <c r="D13" s="2"/>
      <c r="E13" s="2"/>
      <c r="F13" s="3" t="s">
        <v>12</v>
      </c>
      <c r="G13" s="24">
        <f>C10-(G7*G12^2)/2</f>
        <v>133050.45415058901</v>
      </c>
      <c r="H13" s="4">
        <f>H6+H10</f>
        <v>132583.67182289076</v>
      </c>
      <c r="I13" s="4">
        <f t="shared" ref="I13:P13" si="6">I6+I10</f>
        <v>131973.45583551101</v>
      </c>
      <c r="J13" s="4">
        <f t="shared" si="6"/>
        <v>131164.70440047697</v>
      </c>
      <c r="K13" s="4">
        <f t="shared" si="6"/>
        <v>130074.84097772367</v>
      </c>
      <c r="L13" s="4">
        <f t="shared" si="6"/>
        <v>128578.34703624115</v>
      </c>
      <c r="M13" s="4">
        <f t="shared" si="6"/>
        <v>126479.21849325717</v>
      </c>
      <c r="N13" s="4">
        <f t="shared" si="6"/>
        <v>123461.82474043293</v>
      </c>
      <c r="O13" s="4">
        <f t="shared" si="6"/>
        <v>118999.59303076175</v>
      </c>
      <c r="P13" s="4">
        <f t="shared" si="6"/>
        <v>112177.19821167205</v>
      </c>
      <c r="Q13" s="24">
        <f>Q6+Q10</f>
        <v>101325</v>
      </c>
    </row>
    <row r="14" spans="2:17" x14ac:dyDescent="0.25">
      <c r="B14" s="19" t="s">
        <v>7</v>
      </c>
      <c r="C14" s="19">
        <v>2100</v>
      </c>
      <c r="D14" s="2">
        <v>2100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25">
      <c r="B16" s="2"/>
      <c r="C16" s="2"/>
      <c r="D16" s="2"/>
      <c r="E16" s="2"/>
      <c r="F16" s="3" t="s">
        <v>16</v>
      </c>
      <c r="G16" s="3">
        <f>$C$11-(G12^2)/(2*$C$8)</f>
        <v>286.52202399954308</v>
      </c>
      <c r="H16" s="3">
        <f t="shared" ref="H16:Q16" si="7">$C$11-(H12^2)/(2*$C$8)</f>
        <v>286.14898329259552</v>
      </c>
      <c r="I16" s="3">
        <f t="shared" si="7"/>
        <v>285.66263001334414</v>
      </c>
      <c r="J16" s="3">
        <f t="shared" si="7"/>
        <v>285.01992188323999</v>
      </c>
      <c r="K16" s="3">
        <f t="shared" si="7"/>
        <v>284.15663114439764</v>
      </c>
      <c r="L16" s="3">
        <f t="shared" si="7"/>
        <v>282.97556703149291</v>
      </c>
      <c r="M16" s="3">
        <f t="shared" si="7"/>
        <v>281.32572623740265</v>
      </c>
      <c r="N16" s="3">
        <f t="shared" si="7"/>
        <v>278.96533568889561</v>
      </c>
      <c r="O16" s="3">
        <f t="shared" si="7"/>
        <v>275.49368165043728</v>
      </c>
      <c r="P16" s="3">
        <f t="shared" si="7"/>
        <v>270.21948234316261</v>
      </c>
      <c r="Q16" s="3">
        <f t="shared" si="7"/>
        <v>261.89289915217643</v>
      </c>
    </row>
    <row r="17" spans="2:22" x14ac:dyDescent="0.25">
      <c r="B17" s="2"/>
      <c r="C17" s="2"/>
      <c r="D17" s="2"/>
      <c r="E17" s="2"/>
      <c r="F17" s="3" t="s">
        <v>17</v>
      </c>
      <c r="G17" s="3">
        <f>SQRT($C$6*$C$7*G16)</f>
        <v>339.28353567433186</v>
      </c>
      <c r="H17" s="3">
        <f t="shared" ref="H17:Q17" si="8">SQRT($C$6*$C$7*H16)</f>
        <v>339.06259664967439</v>
      </c>
      <c r="I17" s="3">
        <f t="shared" si="8"/>
        <v>338.77433014362987</v>
      </c>
      <c r="J17" s="3">
        <f t="shared" si="8"/>
        <v>338.39301386368481</v>
      </c>
      <c r="K17" s="3">
        <f t="shared" si="8"/>
        <v>337.88014954104375</v>
      </c>
      <c r="L17" s="3">
        <f t="shared" si="8"/>
        <v>337.17723854232247</v>
      </c>
      <c r="M17" s="3">
        <f t="shared" si="8"/>
        <v>336.1928744541143</v>
      </c>
      <c r="N17" s="3">
        <f t="shared" si="8"/>
        <v>334.77953407972723</v>
      </c>
      <c r="O17" s="3">
        <f t="shared" si="8"/>
        <v>332.68988853709544</v>
      </c>
      <c r="P17" s="3">
        <f t="shared" si="8"/>
        <v>329.48990182063983</v>
      </c>
      <c r="Q17" s="3">
        <f t="shared" si="8"/>
        <v>324.37370528095789</v>
      </c>
    </row>
    <row r="18" spans="2:22" x14ac:dyDescent="0.25">
      <c r="B18" s="2"/>
      <c r="C18" s="2"/>
      <c r="D18" s="2"/>
      <c r="E18" s="2"/>
      <c r="F18" s="3" t="s">
        <v>18</v>
      </c>
      <c r="G18" s="3">
        <f>G12/G17</f>
        <v>0.16906735724432781</v>
      </c>
      <c r="H18" s="3">
        <f t="shared" ref="H18:Q18" si="9">H12/H17</f>
        <v>0.18745487442014983</v>
      </c>
      <c r="I18" s="3">
        <f t="shared" si="9"/>
        <v>0.20907385693423483</v>
      </c>
      <c r="J18" s="3">
        <f t="shared" si="9"/>
        <v>0.23470244829448231</v>
      </c>
      <c r="K18" s="3">
        <f t="shared" si="9"/>
        <v>0.2654109934824313</v>
      </c>
      <c r="L18" s="3">
        <f t="shared" si="9"/>
        <v>0.30266427680732588</v>
      </c>
      <c r="M18" s="3">
        <f t="shared" si="9"/>
        <v>0.34851900346984871</v>
      </c>
      <c r="N18" s="3">
        <f t="shared" si="9"/>
        <v>0.40595493072849065</v>
      </c>
      <c r="O18" s="3">
        <f t="shared" si="9"/>
        <v>0.47946220717981747</v>
      </c>
      <c r="P18" s="3">
        <f t="shared" si="9"/>
        <v>0.57616139873507866</v>
      </c>
      <c r="Q18" s="3">
        <f t="shared" si="9"/>
        <v>0.70815644368128161</v>
      </c>
    </row>
    <row r="19" spans="2:22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25">
      <c r="B20" s="2"/>
      <c r="C20" s="2"/>
      <c r="D20" s="2"/>
      <c r="E20" s="2"/>
      <c r="F20" s="20" t="s">
        <v>20</v>
      </c>
      <c r="G20" s="20">
        <f>1-((($C$6-1)/($C$6+1))*G21^2)</f>
        <v>0.99459238576014886</v>
      </c>
      <c r="H20" s="20">
        <f t="shared" ref="H20:Q20" si="10">1-((($C$6-1)/($C$6+1))*H21^2)</f>
        <v>0.99343361102844752</v>
      </c>
      <c r="I20" s="20">
        <f t="shared" si="10"/>
        <v>0.99196047034285584</v>
      </c>
      <c r="J20" s="20">
        <f t="shared" si="10"/>
        <v>0.99007625579968606</v>
      </c>
      <c r="K20" s="20">
        <f t="shared" si="10"/>
        <v>0.98765117706382521</v>
      </c>
      <c r="L20" s="20">
        <f t="shared" si="10"/>
        <v>0.98451575602481023</v>
      </c>
      <c r="M20" s="20">
        <f t="shared" si="10"/>
        <v>0.98045498960047006</v>
      </c>
      <c r="N20" s="20">
        <f t="shared" si="10"/>
        <v>0.97521065687645592</v>
      </c>
      <c r="O20" s="20">
        <f t="shared" si="10"/>
        <v>0.96850403549629249</v>
      </c>
      <c r="P20" s="20">
        <f t="shared" si="10"/>
        <v>0.96009890182565094</v>
      </c>
      <c r="Q20" s="20">
        <f t="shared" si="10"/>
        <v>0.9499258327427087</v>
      </c>
    </row>
    <row r="21" spans="2:22" x14ac:dyDescent="0.25">
      <c r="B21" s="2"/>
      <c r="C21" s="2"/>
      <c r="D21" s="2"/>
      <c r="E21" s="2"/>
      <c r="F21" s="20" t="s">
        <v>19</v>
      </c>
      <c r="G21" s="20">
        <f>SQRT(((($C$6+1)/2)*G18^2)/(1+2*G18^2))</f>
        <v>0.18012685929396183</v>
      </c>
      <c r="H21" s="20">
        <f t="shared" ref="H21:Q21" si="11">SQRT(((($C$6+1)/2)*H18^2)/(1+2*H18^2))</f>
        <v>0.19849013534509619</v>
      </c>
      <c r="I21" s="20">
        <f t="shared" si="11"/>
        <v>0.21962963812487796</v>
      </c>
      <c r="J21" s="20">
        <f t="shared" si="11"/>
        <v>0.24401324800486471</v>
      </c>
      <c r="K21" s="20">
        <f t="shared" si="11"/>
        <v>0.27220017931119833</v>
      </c>
      <c r="L21" s="20">
        <f t="shared" si="11"/>
        <v>0.30480397610782367</v>
      </c>
      <c r="M21" s="20">
        <f t="shared" si="11"/>
        <v>0.34244716730786329</v>
      </c>
      <c r="N21" s="20">
        <f t="shared" si="11"/>
        <v>0.38566314153839515</v>
      </c>
      <c r="O21" s="20">
        <f t="shared" si="11"/>
        <v>0.43471345392366834</v>
      </c>
      <c r="P21" s="20">
        <f t="shared" si="11"/>
        <v>0.48929192620162265</v>
      </c>
      <c r="Q21" s="20">
        <f t="shared" si="11"/>
        <v>0.54812863777013876</v>
      </c>
    </row>
    <row r="22" spans="2:22" x14ac:dyDescent="0.25">
      <c r="B22" s="2"/>
      <c r="C22" s="2"/>
      <c r="D22" s="2"/>
      <c r="E22" s="2"/>
      <c r="F22" s="20" t="s">
        <v>21</v>
      </c>
      <c r="G22" s="20">
        <f>(1-((($C$6-1)/($C$6+1))*G21^2))^($C$6/($C$6-1))</f>
        <v>0.98120093950931253</v>
      </c>
      <c r="H22" s="20">
        <f t="shared" ref="H22:Q22" si="12">(1-((($C$6-1)/($C$6+1))*H21^2))^($C$6/($C$6-1))</f>
        <v>0.97720565867558817</v>
      </c>
      <c r="I22" s="20">
        <f t="shared" si="12"/>
        <v>0.97214328457093746</v>
      </c>
      <c r="J22" s="20">
        <f t="shared" si="12"/>
        <v>0.96569561317361197</v>
      </c>
      <c r="K22" s="20">
        <f t="shared" si="12"/>
        <v>0.95744216552433015</v>
      </c>
      <c r="L22" s="20">
        <f t="shared" si="12"/>
        <v>0.94684599859504504</v>
      </c>
      <c r="M22" s="20">
        <f t="shared" si="12"/>
        <v>0.93324745347850757</v>
      </c>
      <c r="N22" s="20">
        <f t="shared" si="12"/>
        <v>0.91589256761131865</v>
      </c>
      <c r="O22" s="20">
        <f t="shared" si="12"/>
        <v>0.89403602975432483</v>
      </c>
      <c r="P22" s="20">
        <f t="shared" si="12"/>
        <v>0.86717331534484621</v>
      </c>
      <c r="Q22" s="20">
        <f t="shared" si="12"/>
        <v>0.83543745859330099</v>
      </c>
    </row>
    <row r="23" spans="2:22" x14ac:dyDescent="0.25">
      <c r="B23" s="2"/>
      <c r="C23" s="2"/>
      <c r="D23" s="2"/>
      <c r="E23" s="2"/>
      <c r="F23" s="20" t="s">
        <v>5</v>
      </c>
      <c r="G23" s="20">
        <f>G14/G22</f>
        <v>1.2077036948136282</v>
      </c>
      <c r="H23" s="20">
        <f t="shared" ref="H23:Q23" si="13">H14/H22</f>
        <v>1.2126413610887565</v>
      </c>
      <c r="I23" s="20">
        <f t="shared" si="13"/>
        <v>1.2189561135764142</v>
      </c>
      <c r="J23" s="20">
        <f t="shared" si="13"/>
        <v>1.227094732371909</v>
      </c>
      <c r="K23" s="20">
        <f t="shared" si="13"/>
        <v>1.2376726685637989</v>
      </c>
      <c r="L23" s="20">
        <f t="shared" si="13"/>
        <v>1.2515234808599647</v>
      </c>
      <c r="M23" s="20">
        <f t="shared" si="13"/>
        <v>1.269759692976532</v>
      </c>
      <c r="N23" s="20">
        <f t="shared" si="13"/>
        <v>1.2938198669856262</v>
      </c>
      <c r="O23" s="20">
        <f t="shared" si="13"/>
        <v>1.3254499377677544</v>
      </c>
      <c r="P23" s="20">
        <f t="shared" si="13"/>
        <v>1.3665088385806299</v>
      </c>
      <c r="Q23" s="20">
        <f t="shared" si="13"/>
        <v>1.4184185636053332</v>
      </c>
    </row>
    <row r="26" spans="2:22" x14ac:dyDescent="0.25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25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25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25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V24"/>
  <sheetViews>
    <sheetView zoomScale="80" zoomScaleNormal="80" workbookViewId="0">
      <selection activeCell="E6" sqref="E6"/>
    </sheetView>
  </sheetViews>
  <sheetFormatPr defaultRowHeight="15" x14ac:dyDescent="0.25"/>
  <cols>
    <col min="7" max="7" width="11.140625" bestFit="1" customWidth="1"/>
  </cols>
  <sheetData>
    <row r="1" spans="2:17" x14ac:dyDescent="0.25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21" t="s">
        <v>0</v>
      </c>
      <c r="C3" s="21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25">
      <c r="B4" s="21" t="s">
        <v>1</v>
      </c>
      <c r="C4" s="21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 x14ac:dyDescent="0.25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 x14ac:dyDescent="0.25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 x14ac:dyDescent="0.25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25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 x14ac:dyDescent="0.25">
      <c r="B10" s="22" t="s">
        <v>5</v>
      </c>
      <c r="C10" s="22">
        <v>135000</v>
      </c>
      <c r="D10" s="2"/>
      <c r="E10" s="2"/>
      <c r="F10" s="3" t="s">
        <v>15</v>
      </c>
      <c r="G10" s="15">
        <f>(G12)*(G9-H9)</f>
        <v>1.1907341824808284E-4</v>
      </c>
      <c r="H10" s="15">
        <f>(H12)*(H9-I9)</f>
        <v>7.00926506492158E-3</v>
      </c>
      <c r="I10" s="15">
        <f t="shared" ref="I10:P10" si="4">(I12)*(I9-J9)</f>
        <v>-2.4518425401874764E-3</v>
      </c>
      <c r="J10" s="15">
        <f t="shared" si="4"/>
        <v>-1.2586428610306932E-2</v>
      </c>
      <c r="K10" s="15">
        <f t="shared" si="4"/>
        <v>-2.273903875499254E-2</v>
      </c>
      <c r="L10" s="15">
        <f t="shared" si="4"/>
        <v>-3.1824007666735953E-2</v>
      </c>
      <c r="M10" s="15">
        <f t="shared" si="4"/>
        <v>-3.8224108576376328E-2</v>
      </c>
      <c r="N10" s="15">
        <f t="shared" si="4"/>
        <v>-3.980021841213343E-2</v>
      </c>
      <c r="O10" s="15">
        <f t="shared" si="4"/>
        <v>-3.4227130838203675E-2</v>
      </c>
      <c r="P10" s="15">
        <f t="shared" si="4"/>
        <v>-2.0117519340003359E-2</v>
      </c>
      <c r="Q10" s="16">
        <v>0</v>
      </c>
    </row>
    <row r="11" spans="2:17" x14ac:dyDescent="0.25">
      <c r="B11" s="22" t="s">
        <v>6</v>
      </c>
      <c r="C11" s="22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22" t="s">
        <v>12</v>
      </c>
      <c r="C12" s="22">
        <v>101325</v>
      </c>
      <c r="D12" s="2"/>
      <c r="E12" s="2"/>
      <c r="F12" s="3" t="s">
        <v>11</v>
      </c>
      <c r="G12" s="17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25">
      <c r="B13" s="2"/>
      <c r="C13" s="2"/>
      <c r="D13" s="2"/>
      <c r="E13" s="2"/>
      <c r="F13" s="3" t="s">
        <v>12</v>
      </c>
      <c r="G13" s="18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8">
        <f>Q6+Q10</f>
        <v>101325</v>
      </c>
    </row>
    <row r="14" spans="2:17" x14ac:dyDescent="0.25">
      <c r="B14" s="19" t="s">
        <v>7</v>
      </c>
      <c r="C14" s="19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25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25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25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25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25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25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25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Струздюмов</dc:creator>
  <cp:lastModifiedBy>Алексей Струздюмов</cp:lastModifiedBy>
  <dcterms:created xsi:type="dcterms:W3CDTF">2021-05-18T04:26:27Z</dcterms:created>
  <dcterms:modified xsi:type="dcterms:W3CDTF">2021-05-24T13:46:34Z</dcterms:modified>
</cp:coreProperties>
</file>